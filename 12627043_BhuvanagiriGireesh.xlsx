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CloneE\PythonRepo\LPU-PYTHON\"/>
    </mc:Choice>
  </mc:AlternateContent>
  <xr:revisionPtr revIDLastSave="0" documentId="13_ncr:1_{2D362D7A-0CD6-472E-9526-8CDEBCB69F3F}" xr6:coauthVersionLast="47" xr6:coauthVersionMax="47" xr10:uidLastSave="{00000000-0000-0000-0000-000000000000}"/>
  <bookViews>
    <workbookView xWindow="-108" yWindow="-108" windowWidth="22308" windowHeight="13176" xr2:uid="{00000000-000D-0000-FFFF-FFFF00000000}"/>
  </bookViews>
  <sheets>
    <sheet name="Routine Data" sheetId="2" r:id="rId1"/>
  </sheets>
  <definedNames>
    <definedName name="_xlnm._FilterDatabase" localSheetId="0" hidden="1">'Routine Data'!$A$5:$N$45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2" l="1"/>
  <c r="J47" i="2" s="1"/>
  <c r="E47" i="2"/>
  <c r="F47" i="2"/>
  <c r="G47" i="2"/>
  <c r="H47" i="2"/>
  <c r="C47" i="2"/>
  <c r="D47" i="2"/>
  <c r="B47" i="2"/>
  <c r="M46" i="2"/>
  <c r="L46" i="2"/>
  <c r="K46" i="2"/>
  <c r="D46" i="2"/>
  <c r="E46" i="2"/>
  <c r="F46" i="2"/>
  <c r="G46" i="2"/>
  <c r="H46" i="2"/>
  <c r="I46" i="2"/>
  <c r="J46" i="2"/>
  <c r="C46" i="2"/>
  <c r="B46" i="2"/>
  <c r="I45" i="2"/>
  <c r="J45" i="2" s="1"/>
  <c r="J44" i="2"/>
  <c r="I44" i="2"/>
  <c r="I43" i="2"/>
  <c r="J43" i="2" s="1"/>
  <c r="J42" i="2"/>
  <c r="I42" i="2"/>
  <c r="I41" i="2"/>
  <c r="J41" i="2" s="1"/>
  <c r="J40" i="2"/>
  <c r="I40" i="2"/>
  <c r="I39" i="2"/>
  <c r="J39" i="2" s="1"/>
  <c r="J38" i="2"/>
  <c r="I38" i="2"/>
  <c r="I37" i="2"/>
  <c r="J37" i="2" s="1"/>
  <c r="J36" i="2"/>
  <c r="I36" i="2"/>
  <c r="I35" i="2"/>
  <c r="J35" i="2" s="1"/>
  <c r="J34" i="2"/>
  <c r="I34" i="2"/>
  <c r="I33" i="2"/>
  <c r="J33" i="2" s="1"/>
  <c r="J32" i="2"/>
  <c r="I32" i="2"/>
  <c r="I31" i="2"/>
  <c r="J31" i="2" s="1"/>
  <c r="J30" i="2"/>
  <c r="I30" i="2"/>
  <c r="I29" i="2"/>
  <c r="J29" i="2" s="1"/>
  <c r="J28" i="2"/>
  <c r="I28" i="2"/>
  <c r="I27" i="2"/>
  <c r="J27" i="2" s="1"/>
  <c r="J26" i="2"/>
  <c r="I26" i="2"/>
  <c r="I25" i="2"/>
  <c r="J25" i="2" s="1"/>
  <c r="J24" i="2"/>
  <c r="I24" i="2"/>
  <c r="I23" i="2"/>
  <c r="J23" i="2" s="1"/>
  <c r="J22" i="2"/>
  <c r="I22" i="2"/>
  <c r="I21" i="2"/>
  <c r="J21" i="2" s="1"/>
  <c r="J20" i="2"/>
  <c r="I20" i="2"/>
  <c r="I19" i="2"/>
  <c r="J19" i="2" s="1"/>
  <c r="J18" i="2"/>
  <c r="I18" i="2"/>
  <c r="I17" i="2"/>
  <c r="J17" i="2" s="1"/>
  <c r="J16" i="2"/>
  <c r="I16" i="2"/>
  <c r="I15" i="2"/>
  <c r="J15" i="2" s="1"/>
  <c r="J14" i="2"/>
  <c r="I14" i="2"/>
  <c r="I13" i="2"/>
  <c r="J13" i="2" s="1"/>
  <c r="J12" i="2"/>
  <c r="I12" i="2"/>
  <c r="I11" i="2"/>
  <c r="J11" i="2" s="1"/>
  <c r="J10" i="2"/>
  <c r="I10" i="2"/>
  <c r="I9" i="2"/>
  <c r="J9" i="2" s="1"/>
  <c r="J8" i="2"/>
  <c r="I8" i="2"/>
  <c r="I7" i="2"/>
  <c r="J7" i="2" s="1"/>
  <c r="I6" i="2"/>
</calcChain>
</file>

<file path=xl/sharedStrings.xml><?xml version="1.0" encoding="utf-8"?>
<sst xmlns="http://schemas.openxmlformats.org/spreadsheetml/2006/main" count="65" uniqueCount="62">
  <si>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</si>
  <si>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</si>
  <si>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</si>
  <si>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</si>
  <si>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</si>
  <si>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</si>
  <si>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</si>
  <si>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</si>
  <si>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</si>
  <si>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</si>
  <si>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</si>
  <si>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</si>
  <si>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</si>
  <si>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</si>
  <si>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 day, felt a little tired.</t>
  </si>
  <si>
    <t>Busy day, felt tired after classes.</t>
  </si>
  <si>
    <t>Relaxed day and spent some time on personal work.</t>
  </si>
  <si>
    <t>Had a nice and relaxing day.</t>
  </si>
  <si>
    <t>Slow day, but completed my work.</t>
  </si>
  <si>
    <t>Good and productive day.</t>
  </si>
  <si>
    <t>Good day, stayed on track.</t>
  </si>
  <si>
    <t>Busy day, but completed my work.</t>
  </si>
  <si>
    <t>Relaxed and enjoyed Saturday.</t>
  </si>
  <si>
    <t>Had a peaceful Sunday.</t>
  </si>
  <si>
    <t>Slow day, but did my work.</t>
  </si>
  <si>
    <t>It was a good day.</t>
  </si>
  <si>
    <t>Felt a bit tired but stayed consistent.</t>
  </si>
  <si>
    <t>Long class day, mostly focused on work.</t>
  </si>
  <si>
    <t>Relaxed Sunday, had plenty of personal time.</t>
  </si>
  <si>
    <t>Productive day, finished some pending work.</t>
  </si>
  <si>
    <t>Normal day, completed the important tasks.</t>
  </si>
  <si>
    <t>Good day, coding took some extra time.</t>
  </si>
  <si>
    <t>Felt a little tired, kept the routine simple.</t>
  </si>
  <si>
    <t>Busy but productive day.</t>
  </si>
  <si>
    <t>Good Saturday, worked and spent time on music.</t>
  </si>
  <si>
    <t>Peaceful Sunday, mostly personal time.</t>
  </si>
  <si>
    <t>Started slowly but finished the important work.</t>
  </si>
  <si>
    <t>Productive day, spent good time on coding.</t>
  </si>
  <si>
    <t>Busy day, work took longer than expected.</t>
  </si>
  <si>
    <t>Good day, managed work without feeling rushed.</t>
  </si>
  <si>
    <t>Long day, felt tired by the evening.</t>
  </si>
  <si>
    <t>Good Saturday, practiced and finished pending work.</t>
  </si>
  <si>
    <t>Relaxed Sunday, enjoyed the day.</t>
  </si>
  <si>
    <t>Productive start to the week.</t>
  </si>
  <si>
    <t>Normal day, stayed consistent.</t>
  </si>
  <si>
    <t>Good day, spent extra time learning.</t>
  </si>
  <si>
    <t>Felt slightly tired, kept things simple.</t>
  </si>
  <si>
    <t>Busy day, work was the priority.</t>
  </si>
  <si>
    <t>Good Saturday, proper practice and work session.</t>
  </si>
  <si>
    <t>Relaxed Sunday, mostly personal time and music.</t>
  </si>
  <si>
    <t>Productive day, got back into routine.</t>
  </si>
  <si>
    <t>My Data, My Code — Daily Log</t>
  </si>
  <si>
    <t>Name:</t>
  </si>
  <si>
    <t>Registration No.:</t>
  </si>
  <si>
    <t>Course / Section:</t>
  </si>
  <si>
    <t>MCA-2634</t>
  </si>
  <si>
    <t>Month:</t>
  </si>
  <si>
    <t>September</t>
  </si>
  <si>
    <t>All durations in MINUTES. Yellow cells = enter your data. Row 6 is a sample — overwrite it. Rows 2-3: fill your details.</t>
  </si>
  <si>
    <t>Bhuvanagiri Gireesh</t>
  </si>
  <si>
    <t>Column 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</si>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</sst>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rgb="FFFFFFFF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3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  <xf numFmtId="0" fontId="1" fillId="4" borderId="2" xfId="0" applyFont="1" applyFill="1" applyBorder="1"/>
    <xf numFmtId="0" fontId="0" fillId="4" borderId="2" xfId="0" applyFill="1" applyBorder="1"/>
    <xf numFmtId="0" fontId="1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193D-5B77-445E-92C2-4710E5F613D2}">
  <sheetPr codeName="Sheet2"/>
  <dimension ref="A1:N47"/>
  <sheetViews>
    <sheetView tabSelected="1" workbookViewId="0">
      <pane ySplit="5" topLeftCell="A6" activePane="bottomLeft" state="frozen"/>
      <selection pane="bottomLeft" activeCell="N6" sqref="N6"/>
    </sheetView>
  </sheetViews>
  <sheetFormatPr defaultRowHeight="14.4" x14ac:dyDescent="0.3"/>
  <cols>
    <col min="1" max="1" width="13.77734375" customWidth="1"/>
    <col min="2" max="4" width="12.77734375" customWidth="1"/>
    <col min="5" max="5" width="21.5546875" customWidth="1"/>
    <col min="6" max="6" width="12.77734375" customWidth="1"/>
    <col min="7" max="7" width="16.77734375" customWidth="1"/>
    <col min="8" max="8" width="19.77734375" customWidth="1"/>
    <col min="9" max="9" width="18.77734375" customWidth="1"/>
    <col min="10" max="10" width="20.77734375" customWidth="1"/>
    <col min="11" max="11" width="15.77734375" customWidth="1"/>
    <col min="12" max="12" width="19.77734375" customWidth="1"/>
    <col min="13" max="13" width="14.77734375" customWidth="1"/>
    <col min="14" max="14" width="45.77734375" customWidth="1"/>
  </cols>
  <sheetData>
    <row r="1" spans="1:14" ht="30" customHeight="1" x14ac:dyDescent="0.3">
      <c r="A1" s="12" t="s">
        <v>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30" customHeight="1" x14ac:dyDescent="0.3">
      <c r="A2" s="2" t="s">
        <v>52</v>
      </c>
      <c r="B2" s="13" t="s">
        <v>59</v>
      </c>
      <c r="C2" s="14"/>
      <c r="D2" s="14"/>
      <c r="E2" s="2" t="s">
        <v>53</v>
      </c>
      <c r="F2" s="15">
        <v>12627043</v>
      </c>
      <c r="G2" s="15"/>
    </row>
    <row r="3" spans="1:14" ht="21" customHeight="1" x14ac:dyDescent="0.3">
      <c r="A3" s="2" t="s">
        <v>54</v>
      </c>
      <c r="B3" s="13" t="s">
        <v>55</v>
      </c>
      <c r="C3" s="13"/>
      <c r="D3" s="13"/>
      <c r="E3" s="2" t="s">
        <v>56</v>
      </c>
      <c r="F3" s="13" t="s">
        <v>57</v>
      </c>
      <c r="G3" s="13"/>
    </row>
    <row r="4" spans="1:14" ht="30" customHeight="1" x14ac:dyDescent="0.3">
      <c r="A4" s="11" t="s">
        <v>58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30" customHeight="1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</row>
    <row r="6" spans="1:14" ht="30" customHeight="1" x14ac:dyDescent="0.3">
      <c r="A6" s="3">
        <v>46247</v>
      </c>
      <c r="B6" s="1">
        <v>420</v>
      </c>
      <c r="C6" s="1">
        <v>30</v>
      </c>
      <c r="D6" s="1">
        <v>90</v>
      </c>
      <c r="E6" s="1">
        <v>30</v>
      </c>
      <c r="F6" s="1">
        <v>240</v>
      </c>
      <c r="G6" s="1">
        <v>4</v>
      </c>
      <c r="H6" s="1">
        <v>90</v>
      </c>
      <c r="I6" s="6">
        <f t="shared" ref="I6:I45" si="0">IF(COUNTA(B6:H6)=0,"",SUM(B6:F6,H6))</f>
        <v>900</v>
      </c>
      <c r="J6" s="6">
        <f>IF(I6="","",1440-I6)</f>
        <v>540</v>
      </c>
      <c r="K6" s="1">
        <v>4</v>
      </c>
      <c r="L6" s="1">
        <v>4</v>
      </c>
      <c r="M6" s="1">
        <v>2</v>
      </c>
      <c r="N6" s="5" t="s">
        <v>14</v>
      </c>
    </row>
    <row r="7" spans="1:14" ht="30" customHeight="1" x14ac:dyDescent="0.3">
      <c r="A7" s="3">
        <v>46248</v>
      </c>
      <c r="B7" s="1">
        <v>360</v>
      </c>
      <c r="C7" s="1">
        <v>0</v>
      </c>
      <c r="D7" s="1">
        <v>60</v>
      </c>
      <c r="E7" s="1">
        <v>0</v>
      </c>
      <c r="F7" s="1">
        <v>360</v>
      </c>
      <c r="G7" s="1">
        <v>6</v>
      </c>
      <c r="H7" s="1">
        <v>40</v>
      </c>
      <c r="I7" s="6">
        <f t="shared" si="0"/>
        <v>820</v>
      </c>
      <c r="J7" s="6">
        <f t="shared" ref="J6:J45" si="1">IF(I7="","",1440-I7)</f>
        <v>620</v>
      </c>
      <c r="K7" s="1">
        <v>3</v>
      </c>
      <c r="L7" s="1">
        <v>5</v>
      </c>
      <c r="M7" s="1">
        <v>3</v>
      </c>
      <c r="N7" s="5" t="s">
        <v>15</v>
      </c>
    </row>
    <row r="8" spans="1:14" ht="30" customHeight="1" x14ac:dyDescent="0.3">
      <c r="A8" s="3">
        <v>46249</v>
      </c>
      <c r="B8" s="1">
        <v>480</v>
      </c>
      <c r="C8" s="1">
        <v>30</v>
      </c>
      <c r="D8" s="1">
        <v>90</v>
      </c>
      <c r="E8" s="1">
        <v>60</v>
      </c>
      <c r="F8" s="1">
        <v>0</v>
      </c>
      <c r="G8" s="1">
        <v>0</v>
      </c>
      <c r="H8" s="1">
        <v>120</v>
      </c>
      <c r="I8" s="6">
        <f t="shared" si="0"/>
        <v>780</v>
      </c>
      <c r="J8" s="6">
        <f t="shared" si="1"/>
        <v>660</v>
      </c>
      <c r="K8" s="1">
        <v>5</v>
      </c>
      <c r="L8" s="1">
        <v>4</v>
      </c>
      <c r="M8" s="1">
        <v>3</v>
      </c>
      <c r="N8" s="5" t="s">
        <v>16</v>
      </c>
    </row>
    <row r="9" spans="1:14" ht="30" customHeight="1" x14ac:dyDescent="0.3">
      <c r="A9" s="3">
        <v>46250</v>
      </c>
      <c r="B9" s="1">
        <v>480</v>
      </c>
      <c r="C9" s="1">
        <v>30</v>
      </c>
      <c r="D9" s="1">
        <v>90</v>
      </c>
      <c r="E9" s="1">
        <v>60</v>
      </c>
      <c r="F9" s="1">
        <v>0</v>
      </c>
      <c r="G9" s="1">
        <v>0</v>
      </c>
      <c r="H9" s="1">
        <v>120</v>
      </c>
      <c r="I9" s="6">
        <f t="shared" si="0"/>
        <v>780</v>
      </c>
      <c r="J9" s="6">
        <f t="shared" si="1"/>
        <v>660</v>
      </c>
      <c r="K9" s="1">
        <v>4</v>
      </c>
      <c r="L9" s="1">
        <v>5</v>
      </c>
      <c r="M9" s="1">
        <v>2</v>
      </c>
      <c r="N9" s="5" t="s">
        <v>17</v>
      </c>
    </row>
    <row r="10" spans="1:14" ht="30" customHeight="1" x14ac:dyDescent="0.3">
      <c r="A10" s="3">
        <v>46251</v>
      </c>
      <c r="B10" s="1">
        <v>360</v>
      </c>
      <c r="C10" s="1">
        <v>0</v>
      </c>
      <c r="D10" s="1">
        <v>120</v>
      </c>
      <c r="E10" s="1">
        <v>45</v>
      </c>
      <c r="F10" s="1">
        <v>300</v>
      </c>
      <c r="G10" s="1">
        <v>5</v>
      </c>
      <c r="H10" s="1">
        <v>60</v>
      </c>
      <c r="I10" s="6">
        <f t="shared" si="0"/>
        <v>885</v>
      </c>
      <c r="J10" s="6">
        <f t="shared" si="1"/>
        <v>555</v>
      </c>
      <c r="K10" s="1">
        <v>5</v>
      </c>
      <c r="L10" s="1">
        <v>4</v>
      </c>
      <c r="M10" s="1">
        <v>3</v>
      </c>
      <c r="N10" s="5" t="s">
        <v>18</v>
      </c>
    </row>
    <row r="11" spans="1:14" ht="30" customHeight="1" x14ac:dyDescent="0.3">
      <c r="A11" s="3">
        <v>46252</v>
      </c>
      <c r="B11" s="1">
        <v>360</v>
      </c>
      <c r="C11" s="1">
        <v>45</v>
      </c>
      <c r="D11" s="1">
        <v>120</v>
      </c>
      <c r="E11" s="1">
        <v>30</v>
      </c>
      <c r="F11" s="1">
        <v>300</v>
      </c>
      <c r="G11" s="1">
        <v>5</v>
      </c>
      <c r="H11" s="1">
        <v>60</v>
      </c>
      <c r="I11" s="6">
        <f t="shared" si="0"/>
        <v>915</v>
      </c>
      <c r="J11" s="6">
        <f t="shared" si="1"/>
        <v>525</v>
      </c>
      <c r="K11" s="1">
        <v>5</v>
      </c>
      <c r="L11" s="1">
        <v>5</v>
      </c>
      <c r="M11" s="1">
        <v>2</v>
      </c>
      <c r="N11" s="5" t="s">
        <v>19</v>
      </c>
    </row>
    <row r="12" spans="1:14" ht="30" customHeight="1" x14ac:dyDescent="0.3">
      <c r="A12" s="3">
        <v>46253</v>
      </c>
      <c r="B12" s="1">
        <v>360</v>
      </c>
      <c r="C12" s="1">
        <v>40</v>
      </c>
      <c r="D12" s="1">
        <v>120</v>
      </c>
      <c r="E12" s="1">
        <v>30</v>
      </c>
      <c r="F12" s="1">
        <v>240</v>
      </c>
      <c r="G12" s="1">
        <v>4</v>
      </c>
      <c r="H12" s="1">
        <v>90</v>
      </c>
      <c r="I12" s="6">
        <f t="shared" si="0"/>
        <v>880</v>
      </c>
      <c r="J12" s="6">
        <f t="shared" si="1"/>
        <v>560</v>
      </c>
      <c r="K12" s="1">
        <v>4</v>
      </c>
      <c r="L12" s="1">
        <v>5</v>
      </c>
      <c r="M12" s="1">
        <v>3</v>
      </c>
      <c r="N12" s="5" t="s">
        <v>14</v>
      </c>
    </row>
    <row r="13" spans="1:14" ht="30" customHeight="1" x14ac:dyDescent="0.3">
      <c r="A13" s="3">
        <v>46254</v>
      </c>
      <c r="B13" s="1">
        <v>420</v>
      </c>
      <c r="C13" s="1">
        <v>30</v>
      </c>
      <c r="D13" s="1">
        <v>90</v>
      </c>
      <c r="E13" s="1">
        <v>30</v>
      </c>
      <c r="F13" s="1">
        <v>240</v>
      </c>
      <c r="G13" s="1">
        <v>4</v>
      </c>
      <c r="H13" s="1">
        <v>90</v>
      </c>
      <c r="I13" s="6">
        <f t="shared" si="0"/>
        <v>900</v>
      </c>
      <c r="J13" s="6">
        <f t="shared" si="1"/>
        <v>540</v>
      </c>
      <c r="K13" s="1">
        <v>4</v>
      </c>
      <c r="L13" s="1">
        <v>5</v>
      </c>
      <c r="M13" s="1">
        <v>2</v>
      </c>
      <c r="N13" s="5" t="s">
        <v>20</v>
      </c>
    </row>
    <row r="14" spans="1:14" ht="30" customHeight="1" x14ac:dyDescent="0.3">
      <c r="A14" s="3">
        <v>46255</v>
      </c>
      <c r="B14" s="1">
        <v>360</v>
      </c>
      <c r="C14" s="1">
        <v>0</v>
      </c>
      <c r="D14" s="1">
        <v>60</v>
      </c>
      <c r="E14" s="1">
        <v>0</v>
      </c>
      <c r="F14" s="1">
        <v>360</v>
      </c>
      <c r="G14" s="1">
        <v>6</v>
      </c>
      <c r="H14" s="1">
        <v>40</v>
      </c>
      <c r="I14" s="6">
        <f t="shared" si="0"/>
        <v>820</v>
      </c>
      <c r="J14" s="6">
        <f t="shared" si="1"/>
        <v>620</v>
      </c>
      <c r="K14" s="1">
        <v>5</v>
      </c>
      <c r="L14" s="1">
        <v>5</v>
      </c>
      <c r="M14" s="1">
        <v>3</v>
      </c>
      <c r="N14" s="5" t="s">
        <v>21</v>
      </c>
    </row>
    <row r="15" spans="1:14" ht="30" customHeight="1" x14ac:dyDescent="0.3">
      <c r="A15" s="3">
        <v>46256</v>
      </c>
      <c r="B15" s="1">
        <v>420</v>
      </c>
      <c r="C15" s="1">
        <v>30</v>
      </c>
      <c r="D15" s="1">
        <v>90</v>
      </c>
      <c r="E15" s="1">
        <v>60</v>
      </c>
      <c r="F15" s="1">
        <v>0</v>
      </c>
      <c r="G15" s="1">
        <v>0</v>
      </c>
      <c r="H15" s="1">
        <v>120</v>
      </c>
      <c r="I15" s="6">
        <f t="shared" si="0"/>
        <v>720</v>
      </c>
      <c r="J15" s="6">
        <f t="shared" si="1"/>
        <v>720</v>
      </c>
      <c r="K15" s="1">
        <v>5</v>
      </c>
      <c r="L15" s="1">
        <v>4</v>
      </c>
      <c r="M15" s="1">
        <v>3</v>
      </c>
      <c r="N15" s="5" t="s">
        <v>22</v>
      </c>
    </row>
    <row r="16" spans="1:14" ht="30" customHeight="1" x14ac:dyDescent="0.3">
      <c r="A16" s="3">
        <v>46257</v>
      </c>
      <c r="B16" s="1">
        <v>480</v>
      </c>
      <c r="C16" s="1">
        <v>30</v>
      </c>
      <c r="D16" s="1">
        <v>90</v>
      </c>
      <c r="E16" s="1">
        <v>60</v>
      </c>
      <c r="F16" s="1">
        <v>0</v>
      </c>
      <c r="G16" s="1">
        <v>0</v>
      </c>
      <c r="H16" s="1">
        <v>120</v>
      </c>
      <c r="I16" s="6">
        <f t="shared" si="0"/>
        <v>780</v>
      </c>
      <c r="J16" s="6">
        <f t="shared" si="1"/>
        <v>660</v>
      </c>
      <c r="K16" s="1">
        <v>4</v>
      </c>
      <c r="L16" s="1">
        <v>4</v>
      </c>
      <c r="M16" s="1">
        <v>3</v>
      </c>
      <c r="N16" s="5" t="s">
        <v>23</v>
      </c>
    </row>
    <row r="17" spans="1:14" ht="30" customHeight="1" x14ac:dyDescent="0.3">
      <c r="A17" s="3">
        <v>46258</v>
      </c>
      <c r="B17" s="1">
        <v>360</v>
      </c>
      <c r="C17" s="1">
        <v>0</v>
      </c>
      <c r="D17" s="1">
        <v>120</v>
      </c>
      <c r="E17" s="1">
        <v>45</v>
      </c>
      <c r="F17" s="1">
        <v>300</v>
      </c>
      <c r="G17" s="1">
        <v>5</v>
      </c>
      <c r="H17" s="1">
        <v>60</v>
      </c>
      <c r="I17" s="6">
        <f t="shared" si="0"/>
        <v>885</v>
      </c>
      <c r="J17" s="6">
        <f t="shared" si="1"/>
        <v>555</v>
      </c>
      <c r="K17" s="1">
        <v>5</v>
      </c>
      <c r="L17" s="1">
        <v>5</v>
      </c>
      <c r="M17" s="1">
        <v>2</v>
      </c>
      <c r="N17" s="5" t="s">
        <v>24</v>
      </c>
    </row>
    <row r="18" spans="1:14" ht="30" customHeight="1" x14ac:dyDescent="0.3">
      <c r="A18" s="3">
        <v>46259</v>
      </c>
      <c r="B18" s="1">
        <v>360</v>
      </c>
      <c r="C18" s="1">
        <v>45</v>
      </c>
      <c r="D18" s="1">
        <v>120</v>
      </c>
      <c r="E18" s="1">
        <v>30</v>
      </c>
      <c r="F18" s="1">
        <v>300</v>
      </c>
      <c r="G18" s="1">
        <v>5</v>
      </c>
      <c r="H18" s="1">
        <v>60</v>
      </c>
      <c r="I18" s="6">
        <f t="shared" si="0"/>
        <v>915</v>
      </c>
      <c r="J18" s="6">
        <f t="shared" si="1"/>
        <v>525</v>
      </c>
      <c r="K18" s="1">
        <v>4</v>
      </c>
      <c r="L18" s="1">
        <v>5</v>
      </c>
      <c r="M18" s="1">
        <v>3</v>
      </c>
      <c r="N18" s="5" t="s">
        <v>25</v>
      </c>
    </row>
    <row r="19" spans="1:14" ht="30" customHeight="1" x14ac:dyDescent="0.3">
      <c r="A19" s="3">
        <v>46260</v>
      </c>
      <c r="B19" s="1">
        <v>360</v>
      </c>
      <c r="C19" s="1">
        <v>40</v>
      </c>
      <c r="D19" s="1">
        <v>120</v>
      </c>
      <c r="E19" s="1">
        <v>30</v>
      </c>
      <c r="F19" s="1">
        <v>240</v>
      </c>
      <c r="G19" s="1">
        <v>4</v>
      </c>
      <c r="H19" s="1">
        <v>90</v>
      </c>
      <c r="I19" s="6">
        <f t="shared" si="0"/>
        <v>880</v>
      </c>
      <c r="J19" s="6">
        <f t="shared" si="1"/>
        <v>560</v>
      </c>
      <c r="K19" s="1">
        <v>4</v>
      </c>
      <c r="L19" s="1">
        <v>4</v>
      </c>
      <c r="M19" s="1">
        <v>2</v>
      </c>
      <c r="N19" s="5" t="s">
        <v>14</v>
      </c>
    </row>
    <row r="20" spans="1:14" ht="30" customHeight="1" x14ac:dyDescent="0.3">
      <c r="A20" s="3">
        <v>46261</v>
      </c>
      <c r="B20" s="1">
        <v>420</v>
      </c>
      <c r="C20" s="1">
        <v>30</v>
      </c>
      <c r="D20" s="1">
        <v>90</v>
      </c>
      <c r="E20" s="1">
        <v>30</v>
      </c>
      <c r="F20" s="1">
        <v>240</v>
      </c>
      <c r="G20" s="1">
        <v>4</v>
      </c>
      <c r="H20" s="1">
        <v>90</v>
      </c>
      <c r="I20" s="6">
        <f t="shared" si="0"/>
        <v>900</v>
      </c>
      <c r="J20" s="6">
        <f t="shared" si="1"/>
        <v>540</v>
      </c>
      <c r="K20" s="1">
        <v>4</v>
      </c>
      <c r="L20" s="1">
        <v>4</v>
      </c>
      <c r="M20" s="1">
        <v>3</v>
      </c>
      <c r="N20" s="5" t="s">
        <v>26</v>
      </c>
    </row>
    <row r="21" spans="1:14" ht="30" customHeight="1" x14ac:dyDescent="0.3">
      <c r="A21" s="3">
        <v>46262</v>
      </c>
      <c r="B21" s="1">
        <v>360</v>
      </c>
      <c r="C21" s="1">
        <v>0</v>
      </c>
      <c r="D21" s="1">
        <v>60</v>
      </c>
      <c r="E21" s="1">
        <v>0</v>
      </c>
      <c r="F21" s="1">
        <v>360</v>
      </c>
      <c r="G21" s="1">
        <v>6</v>
      </c>
      <c r="H21" s="1">
        <v>40</v>
      </c>
      <c r="I21" s="6">
        <f t="shared" si="0"/>
        <v>820</v>
      </c>
      <c r="J21" s="6">
        <f t="shared" si="1"/>
        <v>620</v>
      </c>
      <c r="K21" s="1">
        <v>5</v>
      </c>
      <c r="L21" s="1">
        <v>5</v>
      </c>
      <c r="M21" s="1">
        <v>3</v>
      </c>
      <c r="N21" s="5" t="s">
        <v>27</v>
      </c>
    </row>
    <row r="22" spans="1:14" ht="30" customHeight="1" x14ac:dyDescent="0.3">
      <c r="A22" s="3">
        <v>46263</v>
      </c>
      <c r="B22" s="1">
        <v>420</v>
      </c>
      <c r="C22" s="1">
        <v>30</v>
      </c>
      <c r="D22" s="1">
        <v>90</v>
      </c>
      <c r="E22" s="1">
        <v>60</v>
      </c>
      <c r="F22" s="1">
        <v>0</v>
      </c>
      <c r="G22" s="1">
        <v>0</v>
      </c>
      <c r="H22" s="1">
        <v>120</v>
      </c>
      <c r="I22" s="6">
        <f t="shared" si="0"/>
        <v>720</v>
      </c>
      <c r="J22" s="6">
        <f t="shared" si="1"/>
        <v>720</v>
      </c>
      <c r="K22" s="1">
        <v>3</v>
      </c>
      <c r="L22" s="1">
        <v>5</v>
      </c>
      <c r="M22" s="1">
        <v>2</v>
      </c>
      <c r="N22" s="5" t="s">
        <v>22</v>
      </c>
    </row>
    <row r="23" spans="1:14" ht="30" customHeight="1" x14ac:dyDescent="0.3">
      <c r="A23" s="3">
        <v>46264</v>
      </c>
      <c r="B23" s="1">
        <v>480</v>
      </c>
      <c r="C23" s="1">
        <v>30</v>
      </c>
      <c r="D23" s="1">
        <v>90</v>
      </c>
      <c r="E23" s="1">
        <v>60</v>
      </c>
      <c r="F23" s="1">
        <v>0</v>
      </c>
      <c r="G23" s="1">
        <v>0</v>
      </c>
      <c r="H23" s="1">
        <v>120</v>
      </c>
      <c r="I23" s="6">
        <f t="shared" si="0"/>
        <v>780</v>
      </c>
      <c r="J23" s="6">
        <f t="shared" si="1"/>
        <v>660</v>
      </c>
      <c r="K23" s="1">
        <v>5</v>
      </c>
      <c r="L23" s="1">
        <v>5</v>
      </c>
      <c r="M23" s="1">
        <v>3</v>
      </c>
      <c r="N23" s="5" t="s">
        <v>28</v>
      </c>
    </row>
    <row r="24" spans="1:14" ht="30" customHeight="1" x14ac:dyDescent="0.3">
      <c r="A24" s="3">
        <v>46265</v>
      </c>
      <c r="B24" s="1">
        <v>360</v>
      </c>
      <c r="C24" s="1">
        <v>45</v>
      </c>
      <c r="D24" s="1">
        <v>120</v>
      </c>
      <c r="E24" s="1">
        <v>30</v>
      </c>
      <c r="F24" s="1">
        <v>300</v>
      </c>
      <c r="G24" s="1">
        <v>5</v>
      </c>
      <c r="H24" s="1">
        <v>60</v>
      </c>
      <c r="I24" s="6">
        <f t="shared" si="0"/>
        <v>915</v>
      </c>
      <c r="J24" s="6">
        <f t="shared" si="1"/>
        <v>525</v>
      </c>
      <c r="K24" s="1">
        <v>5</v>
      </c>
      <c r="L24" s="1">
        <v>4</v>
      </c>
      <c r="M24" s="1">
        <v>3</v>
      </c>
      <c r="N24" s="5" t="s">
        <v>29</v>
      </c>
    </row>
    <row r="25" spans="1:14" ht="30" customHeight="1" x14ac:dyDescent="0.3">
      <c r="A25" s="3">
        <v>46266</v>
      </c>
      <c r="B25" s="1">
        <v>420</v>
      </c>
      <c r="C25" s="1">
        <v>30</v>
      </c>
      <c r="D25" s="1">
        <v>90</v>
      </c>
      <c r="E25" s="1">
        <v>30</v>
      </c>
      <c r="F25" s="1">
        <v>240</v>
      </c>
      <c r="G25" s="1">
        <v>4</v>
      </c>
      <c r="H25" s="1">
        <v>90</v>
      </c>
      <c r="I25" s="6">
        <f t="shared" si="0"/>
        <v>900</v>
      </c>
      <c r="J25" s="6">
        <f t="shared" si="1"/>
        <v>540</v>
      </c>
      <c r="K25" s="1">
        <v>4</v>
      </c>
      <c r="L25" s="1">
        <v>4</v>
      </c>
      <c r="M25" s="1">
        <v>3</v>
      </c>
      <c r="N25" s="5" t="s">
        <v>30</v>
      </c>
    </row>
    <row r="26" spans="1:14" ht="30" customHeight="1" x14ac:dyDescent="0.3">
      <c r="A26" s="3">
        <v>46267</v>
      </c>
      <c r="B26" s="1">
        <v>360</v>
      </c>
      <c r="C26" s="1">
        <v>40</v>
      </c>
      <c r="D26" s="1">
        <v>120</v>
      </c>
      <c r="E26" s="1">
        <v>30</v>
      </c>
      <c r="F26" s="1">
        <v>240</v>
      </c>
      <c r="G26" s="1">
        <v>4</v>
      </c>
      <c r="H26" s="1">
        <v>90</v>
      </c>
      <c r="I26" s="6">
        <f t="shared" si="0"/>
        <v>880</v>
      </c>
      <c r="J26" s="6">
        <f t="shared" si="1"/>
        <v>560</v>
      </c>
      <c r="K26" s="1">
        <v>4</v>
      </c>
      <c r="L26" s="1">
        <v>5</v>
      </c>
      <c r="M26" s="1">
        <v>2</v>
      </c>
      <c r="N26" s="5" t="s">
        <v>31</v>
      </c>
    </row>
    <row r="27" spans="1:14" ht="30" customHeight="1" x14ac:dyDescent="0.3">
      <c r="A27" s="3">
        <v>46268</v>
      </c>
      <c r="B27" s="1">
        <v>420</v>
      </c>
      <c r="C27" s="1">
        <v>30</v>
      </c>
      <c r="D27" s="1">
        <v>90</v>
      </c>
      <c r="E27" s="1">
        <v>30</v>
      </c>
      <c r="F27" s="1">
        <v>240</v>
      </c>
      <c r="G27" s="1">
        <v>4</v>
      </c>
      <c r="H27" s="1">
        <v>90</v>
      </c>
      <c r="I27" s="6">
        <f t="shared" si="0"/>
        <v>900</v>
      </c>
      <c r="J27" s="6">
        <f t="shared" si="1"/>
        <v>540</v>
      </c>
      <c r="K27" s="1">
        <v>4</v>
      </c>
      <c r="L27" s="1">
        <v>4</v>
      </c>
      <c r="M27" s="1">
        <v>2</v>
      </c>
      <c r="N27" s="5" t="s">
        <v>32</v>
      </c>
    </row>
    <row r="28" spans="1:14" ht="30" customHeight="1" x14ac:dyDescent="0.3">
      <c r="A28" s="3">
        <v>46269</v>
      </c>
      <c r="B28" s="1">
        <v>360</v>
      </c>
      <c r="C28" s="1">
        <v>0</v>
      </c>
      <c r="D28" s="1">
        <v>120</v>
      </c>
      <c r="E28" s="1">
        <v>45</v>
      </c>
      <c r="F28" s="1">
        <v>300</v>
      </c>
      <c r="G28" s="1">
        <v>5</v>
      </c>
      <c r="H28" s="1">
        <v>60</v>
      </c>
      <c r="I28" s="6">
        <f t="shared" si="0"/>
        <v>885</v>
      </c>
      <c r="J28" s="6">
        <f t="shared" si="1"/>
        <v>555</v>
      </c>
      <c r="K28" s="1">
        <v>5</v>
      </c>
      <c r="L28" s="1">
        <v>4</v>
      </c>
      <c r="M28" s="1">
        <v>3</v>
      </c>
      <c r="N28" s="5" t="s">
        <v>33</v>
      </c>
    </row>
    <row r="29" spans="1:14" ht="30" customHeight="1" x14ac:dyDescent="0.3">
      <c r="A29" s="3">
        <v>46270</v>
      </c>
      <c r="B29" s="1">
        <v>420</v>
      </c>
      <c r="C29" s="1">
        <v>45</v>
      </c>
      <c r="D29" s="1">
        <v>90</v>
      </c>
      <c r="E29" s="1">
        <v>60</v>
      </c>
      <c r="F29" s="1">
        <v>240</v>
      </c>
      <c r="G29" s="1">
        <v>4</v>
      </c>
      <c r="H29" s="1">
        <v>90</v>
      </c>
      <c r="I29" s="6">
        <f t="shared" si="0"/>
        <v>945</v>
      </c>
      <c r="J29" s="6">
        <f t="shared" si="1"/>
        <v>495</v>
      </c>
      <c r="K29" s="1">
        <v>5</v>
      </c>
      <c r="L29" s="1">
        <v>5</v>
      </c>
      <c r="M29" s="1">
        <v>3</v>
      </c>
      <c r="N29" s="5" t="s">
        <v>34</v>
      </c>
    </row>
    <row r="30" spans="1:14" ht="30" customHeight="1" x14ac:dyDescent="0.3">
      <c r="A30" s="3">
        <v>46271</v>
      </c>
      <c r="B30" s="1">
        <v>480</v>
      </c>
      <c r="C30" s="1">
        <v>30</v>
      </c>
      <c r="D30" s="1">
        <v>90</v>
      </c>
      <c r="E30" s="1">
        <v>60</v>
      </c>
      <c r="F30" s="1">
        <v>0</v>
      </c>
      <c r="G30" s="1">
        <v>0</v>
      </c>
      <c r="H30" s="1">
        <v>120</v>
      </c>
      <c r="I30" s="6">
        <f t="shared" si="0"/>
        <v>780</v>
      </c>
      <c r="J30" s="6">
        <f t="shared" si="1"/>
        <v>660</v>
      </c>
      <c r="K30" s="1">
        <v>5</v>
      </c>
      <c r="L30" s="1">
        <v>5</v>
      </c>
      <c r="M30" s="1">
        <v>3</v>
      </c>
      <c r="N30" s="5" t="s">
        <v>35</v>
      </c>
    </row>
    <row r="31" spans="1:14" ht="30" customHeight="1" x14ac:dyDescent="0.3">
      <c r="A31" s="3">
        <v>46272</v>
      </c>
      <c r="B31" s="1">
        <v>360</v>
      </c>
      <c r="C31" s="1">
        <v>0</v>
      </c>
      <c r="D31" s="1">
        <v>120</v>
      </c>
      <c r="E31" s="1">
        <v>45</v>
      </c>
      <c r="F31" s="1">
        <v>300</v>
      </c>
      <c r="G31" s="1">
        <v>5</v>
      </c>
      <c r="H31" s="1">
        <v>60</v>
      </c>
      <c r="I31" s="6">
        <f t="shared" si="0"/>
        <v>885</v>
      </c>
      <c r="J31" s="6">
        <f t="shared" si="1"/>
        <v>555</v>
      </c>
      <c r="K31" s="1">
        <v>4</v>
      </c>
      <c r="L31" s="1">
        <v>4</v>
      </c>
      <c r="M31" s="1">
        <v>2</v>
      </c>
      <c r="N31" s="5" t="s">
        <v>36</v>
      </c>
    </row>
    <row r="32" spans="1:14" ht="30" customHeight="1" x14ac:dyDescent="0.3">
      <c r="A32" s="3">
        <v>46273</v>
      </c>
      <c r="B32" s="1">
        <v>420</v>
      </c>
      <c r="C32" s="1">
        <v>40</v>
      </c>
      <c r="D32" s="1">
        <v>120</v>
      </c>
      <c r="E32" s="1">
        <v>30</v>
      </c>
      <c r="F32" s="1">
        <v>240</v>
      </c>
      <c r="G32" s="1">
        <v>4</v>
      </c>
      <c r="H32" s="1">
        <v>90</v>
      </c>
      <c r="I32" s="6">
        <f t="shared" si="0"/>
        <v>940</v>
      </c>
      <c r="J32" s="6">
        <f t="shared" si="1"/>
        <v>500</v>
      </c>
      <c r="K32" s="1">
        <v>5</v>
      </c>
      <c r="L32" s="1">
        <v>4</v>
      </c>
      <c r="M32" s="1">
        <v>3</v>
      </c>
      <c r="N32" s="5" t="s">
        <v>37</v>
      </c>
    </row>
    <row r="33" spans="1:14" ht="30" customHeight="1" x14ac:dyDescent="0.3">
      <c r="A33" s="3">
        <v>46274</v>
      </c>
      <c r="B33" s="1">
        <v>360</v>
      </c>
      <c r="C33" s="1">
        <v>30</v>
      </c>
      <c r="D33" s="1">
        <v>90</v>
      </c>
      <c r="E33" s="1">
        <v>30</v>
      </c>
      <c r="F33" s="1">
        <v>300</v>
      </c>
      <c r="G33" s="1">
        <v>5</v>
      </c>
      <c r="H33" s="1">
        <v>60</v>
      </c>
      <c r="I33" s="6">
        <f t="shared" si="0"/>
        <v>870</v>
      </c>
      <c r="J33" s="6">
        <f t="shared" si="1"/>
        <v>570</v>
      </c>
      <c r="K33" s="1">
        <v>4</v>
      </c>
      <c r="L33" s="1">
        <v>4</v>
      </c>
      <c r="M33" s="1">
        <v>3</v>
      </c>
      <c r="N33" s="5" t="s">
        <v>38</v>
      </c>
    </row>
    <row r="34" spans="1:14" ht="30" customHeight="1" x14ac:dyDescent="0.3">
      <c r="A34" s="3">
        <v>46275</v>
      </c>
      <c r="B34" s="1">
        <v>420</v>
      </c>
      <c r="C34" s="1">
        <v>45</v>
      </c>
      <c r="D34" s="1">
        <v>120</v>
      </c>
      <c r="E34" s="1">
        <v>30</v>
      </c>
      <c r="F34" s="1">
        <v>240</v>
      </c>
      <c r="G34" s="1">
        <v>4</v>
      </c>
      <c r="H34" s="1">
        <v>90</v>
      </c>
      <c r="I34" s="6">
        <f t="shared" si="0"/>
        <v>945</v>
      </c>
      <c r="J34" s="6">
        <f t="shared" si="1"/>
        <v>495</v>
      </c>
      <c r="K34" s="1">
        <v>5</v>
      </c>
      <c r="L34" s="1">
        <v>5</v>
      </c>
      <c r="M34" s="1">
        <v>2</v>
      </c>
      <c r="N34" s="5" t="s">
        <v>39</v>
      </c>
    </row>
    <row r="35" spans="1:14" ht="30" customHeight="1" x14ac:dyDescent="0.3">
      <c r="A35" s="3">
        <v>46276</v>
      </c>
      <c r="B35" s="1">
        <v>360</v>
      </c>
      <c r="C35" s="1">
        <v>0</v>
      </c>
      <c r="D35" s="1">
        <v>60</v>
      </c>
      <c r="E35" s="1">
        <v>0</v>
      </c>
      <c r="F35" s="1">
        <v>360</v>
      </c>
      <c r="G35" s="1">
        <v>6</v>
      </c>
      <c r="H35" s="1">
        <v>40</v>
      </c>
      <c r="I35" s="6">
        <f t="shared" si="0"/>
        <v>820</v>
      </c>
      <c r="J35" s="6">
        <f t="shared" si="1"/>
        <v>620</v>
      </c>
      <c r="K35" s="1">
        <v>4</v>
      </c>
      <c r="L35" s="1">
        <v>5</v>
      </c>
      <c r="M35" s="1">
        <v>2</v>
      </c>
      <c r="N35" s="5" t="s">
        <v>40</v>
      </c>
    </row>
    <row r="36" spans="1:14" ht="30" customHeight="1" x14ac:dyDescent="0.3">
      <c r="A36" s="3">
        <v>46277</v>
      </c>
      <c r="B36" s="1">
        <v>420</v>
      </c>
      <c r="C36" s="1">
        <v>30</v>
      </c>
      <c r="D36" s="1">
        <v>90</v>
      </c>
      <c r="E36" s="1">
        <v>60</v>
      </c>
      <c r="F36" s="1">
        <v>240</v>
      </c>
      <c r="G36" s="1">
        <v>4</v>
      </c>
      <c r="H36" s="1">
        <v>90</v>
      </c>
      <c r="I36" s="6">
        <f t="shared" si="0"/>
        <v>930</v>
      </c>
      <c r="J36" s="6">
        <f t="shared" si="1"/>
        <v>510</v>
      </c>
      <c r="K36" s="1">
        <v>5</v>
      </c>
      <c r="L36" s="1">
        <v>5</v>
      </c>
      <c r="M36" s="1">
        <v>3</v>
      </c>
      <c r="N36" s="5" t="s">
        <v>41</v>
      </c>
    </row>
    <row r="37" spans="1:14" ht="30" customHeight="1" x14ac:dyDescent="0.3">
      <c r="A37" s="3">
        <v>46278</v>
      </c>
      <c r="B37" s="1">
        <v>480</v>
      </c>
      <c r="C37" s="1">
        <v>30</v>
      </c>
      <c r="D37" s="1">
        <v>90</v>
      </c>
      <c r="E37" s="1">
        <v>60</v>
      </c>
      <c r="F37" s="1">
        <v>0</v>
      </c>
      <c r="G37" s="1">
        <v>0</v>
      </c>
      <c r="H37" s="1">
        <v>120</v>
      </c>
      <c r="I37" s="6">
        <f t="shared" si="0"/>
        <v>780</v>
      </c>
      <c r="J37" s="6">
        <f t="shared" si="1"/>
        <v>660</v>
      </c>
      <c r="K37" s="1">
        <v>5</v>
      </c>
      <c r="L37" s="1">
        <v>5</v>
      </c>
      <c r="M37" s="1">
        <v>3</v>
      </c>
      <c r="N37" s="5" t="s">
        <v>42</v>
      </c>
    </row>
    <row r="38" spans="1:14" ht="30" customHeight="1" x14ac:dyDescent="0.3">
      <c r="A38" s="3">
        <v>46279</v>
      </c>
      <c r="B38" s="1">
        <v>360</v>
      </c>
      <c r="C38" s="1">
        <v>45</v>
      </c>
      <c r="D38" s="1">
        <v>120</v>
      </c>
      <c r="E38" s="1">
        <v>30</v>
      </c>
      <c r="F38" s="1">
        <v>300</v>
      </c>
      <c r="G38" s="1">
        <v>5</v>
      </c>
      <c r="H38" s="1">
        <v>60</v>
      </c>
      <c r="I38" s="6">
        <f t="shared" si="0"/>
        <v>915</v>
      </c>
      <c r="J38" s="6">
        <f t="shared" si="1"/>
        <v>525</v>
      </c>
      <c r="K38" s="1">
        <v>5</v>
      </c>
      <c r="L38" s="1">
        <v>4</v>
      </c>
      <c r="M38" s="1">
        <v>3</v>
      </c>
      <c r="N38" s="5" t="s">
        <v>43</v>
      </c>
    </row>
    <row r="39" spans="1:14" ht="30" customHeight="1" x14ac:dyDescent="0.3">
      <c r="A39" s="3">
        <v>46280</v>
      </c>
      <c r="B39" s="1">
        <v>420</v>
      </c>
      <c r="C39" s="1">
        <v>30</v>
      </c>
      <c r="D39" s="1">
        <v>90</v>
      </c>
      <c r="E39" s="1">
        <v>30</v>
      </c>
      <c r="F39" s="1">
        <v>240</v>
      </c>
      <c r="G39" s="1">
        <v>4</v>
      </c>
      <c r="H39" s="1">
        <v>90</v>
      </c>
      <c r="I39" s="6">
        <f t="shared" si="0"/>
        <v>900</v>
      </c>
      <c r="J39" s="6">
        <f t="shared" si="1"/>
        <v>540</v>
      </c>
      <c r="K39" s="1">
        <v>4</v>
      </c>
      <c r="L39" s="1">
        <v>4</v>
      </c>
      <c r="M39" s="1">
        <v>3</v>
      </c>
      <c r="N39" s="5" t="s">
        <v>44</v>
      </c>
    </row>
    <row r="40" spans="1:14" ht="30" customHeight="1" x14ac:dyDescent="0.3">
      <c r="A40" s="3">
        <v>46281</v>
      </c>
      <c r="B40" s="1">
        <v>360</v>
      </c>
      <c r="C40" s="1">
        <v>40</v>
      </c>
      <c r="D40" s="1">
        <v>120</v>
      </c>
      <c r="E40" s="1">
        <v>45</v>
      </c>
      <c r="F40" s="1">
        <v>300</v>
      </c>
      <c r="G40" s="1">
        <v>5</v>
      </c>
      <c r="H40" s="1">
        <v>60</v>
      </c>
      <c r="I40" s="6">
        <f t="shared" si="0"/>
        <v>925</v>
      </c>
      <c r="J40" s="6">
        <f t="shared" si="1"/>
        <v>515</v>
      </c>
      <c r="K40" s="1">
        <v>5</v>
      </c>
      <c r="L40" s="1">
        <v>5</v>
      </c>
      <c r="M40" s="1">
        <v>2</v>
      </c>
      <c r="N40" s="5" t="s">
        <v>45</v>
      </c>
    </row>
    <row r="41" spans="1:14" ht="30" customHeight="1" x14ac:dyDescent="0.3">
      <c r="A41" s="3">
        <v>46282</v>
      </c>
      <c r="B41" s="1">
        <v>420</v>
      </c>
      <c r="C41" s="1">
        <v>30</v>
      </c>
      <c r="D41" s="1">
        <v>90</v>
      </c>
      <c r="E41" s="1">
        <v>30</v>
      </c>
      <c r="F41" s="1">
        <v>240</v>
      </c>
      <c r="G41" s="1">
        <v>4</v>
      </c>
      <c r="H41" s="1">
        <v>90</v>
      </c>
      <c r="I41" s="6">
        <f t="shared" si="0"/>
        <v>900</v>
      </c>
      <c r="J41" s="6">
        <f t="shared" si="1"/>
        <v>540</v>
      </c>
      <c r="K41" s="1">
        <v>4</v>
      </c>
      <c r="L41" s="1">
        <v>4</v>
      </c>
      <c r="M41" s="1">
        <v>3</v>
      </c>
      <c r="N41" s="5" t="s">
        <v>46</v>
      </c>
    </row>
    <row r="42" spans="1:14" x14ac:dyDescent="0.3">
      <c r="A42" s="3">
        <v>46283</v>
      </c>
      <c r="B42" s="1">
        <v>360</v>
      </c>
      <c r="C42" s="1">
        <v>0</v>
      </c>
      <c r="D42" s="1">
        <v>120</v>
      </c>
      <c r="E42" s="1">
        <v>45</v>
      </c>
      <c r="F42" s="1">
        <v>300</v>
      </c>
      <c r="G42" s="1">
        <v>5</v>
      </c>
      <c r="H42" s="1">
        <v>60</v>
      </c>
      <c r="I42" s="6">
        <f t="shared" si="0"/>
        <v>885</v>
      </c>
      <c r="J42" s="6">
        <f t="shared" si="1"/>
        <v>555</v>
      </c>
      <c r="K42" s="1">
        <v>5</v>
      </c>
      <c r="L42" s="1">
        <v>4</v>
      </c>
      <c r="M42" s="1">
        <v>2</v>
      </c>
      <c r="N42" s="5" t="s">
        <v>47</v>
      </c>
    </row>
    <row r="43" spans="1:14" x14ac:dyDescent="0.3">
      <c r="A43" s="3">
        <v>46284</v>
      </c>
      <c r="B43" s="1">
        <v>420</v>
      </c>
      <c r="C43" s="1">
        <v>45</v>
      </c>
      <c r="D43" s="1">
        <v>90</v>
      </c>
      <c r="E43" s="1">
        <v>60</v>
      </c>
      <c r="F43" s="1">
        <v>240</v>
      </c>
      <c r="G43" s="1">
        <v>4</v>
      </c>
      <c r="H43" s="1">
        <v>90</v>
      </c>
      <c r="I43" s="6">
        <f t="shared" si="0"/>
        <v>945</v>
      </c>
      <c r="J43" s="6">
        <f t="shared" si="1"/>
        <v>495</v>
      </c>
      <c r="K43" s="1">
        <v>5</v>
      </c>
      <c r="L43" s="1">
        <v>5</v>
      </c>
      <c r="M43" s="1">
        <v>3</v>
      </c>
      <c r="N43" s="5" t="s">
        <v>48</v>
      </c>
    </row>
    <row r="44" spans="1:14" x14ac:dyDescent="0.3">
      <c r="A44" s="3">
        <v>46285</v>
      </c>
      <c r="B44" s="1">
        <v>480</v>
      </c>
      <c r="C44" s="1">
        <v>30</v>
      </c>
      <c r="D44" s="1">
        <v>90</v>
      </c>
      <c r="E44" s="1">
        <v>60</v>
      </c>
      <c r="F44" s="1">
        <v>0</v>
      </c>
      <c r="G44" s="1">
        <v>0</v>
      </c>
      <c r="H44" s="1">
        <v>120</v>
      </c>
      <c r="I44" s="6">
        <f t="shared" si="0"/>
        <v>780</v>
      </c>
      <c r="J44" s="6">
        <f t="shared" si="1"/>
        <v>660</v>
      </c>
      <c r="K44" s="1">
        <v>5</v>
      </c>
      <c r="L44" s="1">
        <v>5</v>
      </c>
      <c r="M44" s="1">
        <v>2</v>
      </c>
      <c r="N44" s="5" t="s">
        <v>49</v>
      </c>
    </row>
    <row r="45" spans="1:14" x14ac:dyDescent="0.3">
      <c r="A45" s="3">
        <v>46286</v>
      </c>
      <c r="B45" s="1">
        <v>360</v>
      </c>
      <c r="C45" s="1">
        <v>45</v>
      </c>
      <c r="D45" s="1">
        <v>120</v>
      </c>
      <c r="E45" s="1">
        <v>30</v>
      </c>
      <c r="F45" s="1">
        <v>300</v>
      </c>
      <c r="G45" s="1">
        <v>5</v>
      </c>
      <c r="H45" s="1">
        <v>60</v>
      </c>
      <c r="I45" s="6">
        <f t="shared" si="0"/>
        <v>915</v>
      </c>
      <c r="J45" s="6">
        <f t="shared" si="1"/>
        <v>525</v>
      </c>
      <c r="K45" s="1">
        <v>5</v>
      </c>
      <c r="L45" s="1">
        <v>5</v>
      </c>
      <c r="M45" s="1">
        <v>3</v>
      </c>
      <c r="N45" s="5" t="s">
        <v>50</v>
      </c>
    </row>
    <row r="46" spans="1:14" ht="30.6" customHeight="1" x14ac:dyDescent="0.3">
      <c r="A46" s="7" t="s">
        <v>60</v>
      </c>
      <c r="B46" s="8">
        <f>SUM(B6:B45)</f>
        <v>16080</v>
      </c>
      <c r="C46" s="8">
        <f>SUM(C6:C45)</f>
        <v>1100</v>
      </c>
      <c r="D46" s="8">
        <f t="shared" ref="D46:J46" si="2">SUM(D6:D45)</f>
        <v>3960</v>
      </c>
      <c r="E46" s="8">
        <f t="shared" si="2"/>
        <v>1530</v>
      </c>
      <c r="F46" s="8">
        <f t="shared" si="2"/>
        <v>8640</v>
      </c>
      <c r="G46" s="8">
        <f t="shared" si="2"/>
        <v>144</v>
      </c>
      <c r="H46" s="8">
        <f t="shared" si="2"/>
        <v>3310</v>
      </c>
      <c r="I46" s="8">
        <f t="shared" si="2"/>
        <v>34620</v>
      </c>
      <c r="J46" s="8">
        <f t="shared" si="2"/>
        <v>22980</v>
      </c>
      <c r="K46" s="8">
        <f>AVERAGE(K6:K45)</f>
        <v>4.5</v>
      </c>
      <c r="L46" s="8">
        <f>AVERAGE(L6:L45)</f>
        <v>4.55</v>
      </c>
      <c r="M46" s="8">
        <f>AVERAGE(M6:M45)</f>
        <v>2.625</v>
      </c>
    </row>
    <row r="47" spans="1:14" ht="15.6" x14ac:dyDescent="0.3">
      <c r="A47" s="9" t="s">
        <v>61</v>
      </c>
      <c r="B47" s="10">
        <f>AVERAGE(B6:B45)</f>
        <v>402</v>
      </c>
      <c r="C47" s="10">
        <f t="shared" ref="C47:J47" si="3">AVERAGE(C6:C45)</f>
        <v>27.5</v>
      </c>
      <c r="D47" s="10">
        <f t="shared" si="3"/>
        <v>99</v>
      </c>
      <c r="E47" s="10">
        <f t="shared" si="3"/>
        <v>38.25</v>
      </c>
      <c r="F47" s="10">
        <f t="shared" si="3"/>
        <v>216</v>
      </c>
      <c r="G47" s="10">
        <f t="shared" si="3"/>
        <v>3.6</v>
      </c>
      <c r="H47" s="10">
        <f t="shared" si="3"/>
        <v>82.75</v>
      </c>
      <c r="I47" s="10"/>
      <c r="J47" s="10">
        <f t="shared" si="3"/>
        <v>574.5</v>
      </c>
    </row>
  </sheetData>
  <autoFilter ref="A5:N45" xr:uid="{4567193D-5B77-445E-92C2-4710E5F613D2}"/>
  <mergeCells count="6">
    <mergeCell ref="A4:N4"/>
    <mergeCell ref="A1:N1"/>
    <mergeCell ref="B2:D2"/>
    <mergeCell ref="F2:G2"/>
    <mergeCell ref="B3:D3"/>
    <mergeCell ref="F3:G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Bhuvanagiri Gireesh</dc:creator>
  <cp:lastModifiedBy>Bhuvanagiri Gireesh</cp:lastModifiedBy>
  <dcterms:created xsi:type="dcterms:W3CDTF">2015-06-05T18:17:20Z</dcterms:created>
  <dcterms:modified xsi:type="dcterms:W3CDTF">2026-10-13T16:02:19Z</dcterms:modified>
</cp:coreProperties>
</file>